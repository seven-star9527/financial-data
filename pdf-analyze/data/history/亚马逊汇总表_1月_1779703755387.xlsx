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<sst xmlns="http://schemas.openxmlformats.org/spreadsheetml/2006/main" count="43" uniqueCount="34">
  <si>
    <t>领星店铺名称</t>
  </si>
  <si>
    <t>站点</t>
  </si>
  <si>
    <t>公司主体</t>
  </si>
  <si>
    <t>国家</t>
  </si>
  <si>
    <t>结算币种</t>
  </si>
  <si>
    <t>2026年1月汇率</t>
  </si>
  <si>
    <t>1月--销售额汇总（Income）</t>
  </si>
  <si>
    <t>1月费用（Expenses）</t>
  </si>
  <si>
    <t>1月税款</t>
  </si>
  <si>
    <t>1月税款退款</t>
  </si>
  <si>
    <t>1月广告费（Cost of Advertising）</t>
  </si>
  <si>
    <t>1月广告费退款（Refund for Advertiser）</t>
  </si>
  <si>
    <t>1月--销售额汇总 (人民币)</t>
  </si>
  <si>
    <t>1月费用 (人民币)</t>
  </si>
  <si>
    <t>1月税款 (人民币)</t>
  </si>
  <si>
    <t>1月税款退款 (人民币)</t>
  </si>
  <si>
    <t>1月广告费 (人民币)</t>
  </si>
  <si>
    <t>1月广告费退款( 人民币）</t>
  </si>
  <si>
    <t/>
  </si>
  <si>
    <t>惜抱轩英国</t>
  </si>
  <si>
    <t>南昌惜抱轩科技有限公司</t>
  </si>
  <si>
    <t>英国</t>
  </si>
  <si>
    <t>GBP</t>
  </si>
  <si>
    <t>雅甄德国</t>
  </si>
  <si>
    <t>南昌雅甄贸易有限公司</t>
  </si>
  <si>
    <t>德国</t>
  </si>
  <si>
    <t>EUR</t>
  </si>
  <si>
    <t>雅甄意大利</t>
  </si>
  <si>
    <t>意大利</t>
  </si>
  <si>
    <t>Sewulidon美国</t>
  </si>
  <si>
    <t>南昌市凡博贸易有限公司</t>
  </si>
  <si>
    <t>美国</t>
  </si>
  <si>
    <t>USD</t>
  </si>
  <si>
    <t>惜抱轩德国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</si>
</sst>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18.299999999999997" customWidth="1"/>
    <col min="3" max="3" width="28.199999999999996" customWidth="1"/>
    <col min="4" max="4" width="12" customWidth="1"/>
    <col min="5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9.4346</v>
      </c>
      <c r="G2" s="5">
        <v>6031.79</v>
      </c>
      <c r="H2" s="5">
        <v>-3063.59</v>
      </c>
      <c r="I2" s="5">
        <v>1227.9</v>
      </c>
      <c r="J2" s="5">
        <v>-32.91</v>
      </c>
      <c r="K2" s="5">
        <v>-1356.12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23</v>
      </c>
      <c r="C3" s="2" t="s">
        <v>24</v>
      </c>
      <c r="D3" s="2" t="s">
        <v>25</v>
      </c>
      <c r="E3" s="3" t="s">
        <v>26</v>
      </c>
      <c r="F3" s="4">
        <v>8.2355</v>
      </c>
      <c r="G3" s="5">
        <v>0</v>
      </c>
      <c r="H3" s="5">
        <v>-1.34</v>
      </c>
      <c r="I3" s="5">
        <v>0</v>
      </c>
      <c r="J3" s="5">
        <v>0</v>
      </c>
      <c r="K3" s="5">
        <v>0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27</v>
      </c>
      <c r="C4" s="2" t="s">
        <v>24</v>
      </c>
      <c r="D4" s="2" t="s">
        <v>28</v>
      </c>
      <c r="E4" s="3" t="s">
        <v>26</v>
      </c>
      <c r="F4" s="4">
        <v>8.2355</v>
      </c>
      <c r="G4" s="5">
        <v>30.83</v>
      </c>
      <c r="H4" s="5">
        <v>-12.8</v>
      </c>
      <c r="I4" s="5">
        <v>6.78</v>
      </c>
      <c r="J4" s="5">
        <v>0</v>
      </c>
      <c r="K4" s="5">
        <v>0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29</v>
      </c>
      <c r="C5" s="2" t="s">
        <v>30</v>
      </c>
      <c r="D5" s="2" t="s">
        <v>31</v>
      </c>
      <c r="E5" s="3" t="s">
        <v>32</v>
      </c>
      <c r="F5" s="4">
        <v>7.0288</v>
      </c>
      <c r="G5" s="5">
        <v>48922.85</v>
      </c>
      <c r="H5" s="5">
        <v>-35505.32</v>
      </c>
      <c r="I5" s="5">
        <v>3923.37</v>
      </c>
      <c r="J5" s="5">
        <v>-483.54</v>
      </c>
      <c r="K5" s="5">
        <v>-11594.28</v>
      </c>
      <c r="L5" s="5">
        <v>516.94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  <row r="6" spans="1:18" x14ac:dyDescent="0.25">
      <c r="A6" s="2" t="s">
        <v>18</v>
      </c>
      <c r="B6" s="2" t="s">
        <v>33</v>
      </c>
      <c r="C6" s="2" t="s">
        <v>20</v>
      </c>
      <c r="D6" s="2" t="s">
        <v>25</v>
      </c>
      <c r="E6" s="3" t="s">
        <v>26</v>
      </c>
      <c r="F6" s="4">
        <v>8.2355</v>
      </c>
      <c r="G6" s="5">
        <v>0</v>
      </c>
      <c r="H6" s="5">
        <v>-36.39</v>
      </c>
      <c r="I6" s="5">
        <v>4.15</v>
      </c>
      <c r="J6" s="5">
        <v>-4.15</v>
      </c>
      <c r="K6" s="5">
        <v>-14.63</v>
      </c>
      <c r="L6" s="5">
        <v>0</v>
      </c>
      <c r="M6" s="5">
        <f>G6*F6</f>
      </c>
      <c r="N6" s="5">
        <f>H6*F6</f>
      </c>
      <c r="O6" s="5">
        <f>I6*F6</f>
      </c>
      <c r="P6" s="5">
        <f>J6*F6</f>
      </c>
      <c r="Q6" s="5">
        <f>K6*F6</f>
      </c>
      <c r="R6" s="5">
        <f>L6*F6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2026-05-25T10:09:15Z</dcterms:created>
  <dcterms:modified xsi:type="dcterms:W3CDTF">2026-05-25T10:09:15Z</dcterms:modified>
</cp:coreProperties>
</file>