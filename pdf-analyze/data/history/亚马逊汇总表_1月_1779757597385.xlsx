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亚马逊汇总表" state="visible" r:id="rId4"/>
  </sheets>
  <calcPr calcId="171027"/>
</workbook>
</file>

<file path=xl/sharedStrings.xml><?xml version="1.0" encoding="utf-8"?>
<sst xmlns="http://schemas.openxmlformats.org/spreadsheetml/2006/main" count="38" uniqueCount="30">
  <si>
    <t>领星店铺名称</t>
  </si>
  <si>
    <t>站点</t>
  </si>
  <si>
    <t>公司主体</t>
  </si>
  <si>
    <t>国家</t>
  </si>
  <si>
    <t>结算币种</t>
  </si>
  <si>
    <t>2026年1月汇率</t>
  </si>
  <si>
    <t>1月--销售额汇总（Income）</t>
  </si>
  <si>
    <t>1月费用（Expenses）</t>
  </si>
  <si>
    <t>1月税款</t>
  </si>
  <si>
    <t>1月税款退款</t>
  </si>
  <si>
    <t>1月广告费（Cost of Advertising）</t>
  </si>
  <si>
    <t>1月广告费退款（Refund for Advertiser）</t>
  </si>
  <si>
    <t>1月--销售额汇总 (人民币)</t>
  </si>
  <si>
    <t>1月费用 (人民币)</t>
  </si>
  <si>
    <t>1月税款 (人民币)</t>
  </si>
  <si>
    <t>1月税款退款 (人民币)</t>
  </si>
  <si>
    <t>1月广告费 (人民币)</t>
  </si>
  <si>
    <t>1月广告费退款( 人民币）</t>
  </si>
  <si>
    <t/>
  </si>
  <si>
    <t>隆亚北美</t>
  </si>
  <si>
    <t>南昌隆亚电子商务有限公司</t>
  </si>
  <si>
    <t>加拿大</t>
  </si>
  <si>
    <t>CAD</t>
  </si>
  <si>
    <t>隆亚北美MXN</t>
  </si>
  <si>
    <t>墨西哥</t>
  </si>
  <si>
    <t>MXN</t>
  </si>
  <si>
    <t>美国</t>
  </si>
  <si>
    <t>USD</t>
  </si>
  <si>
    <t>王国帅加拿大</t>
  </si>
  <si>
    <t>江西泽坤贸易有限公司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</si>
</sst>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;[Red]-#,##0.00"/>
  </numFmts>
  <fonts count="4" x14ac:knownFonts="1">
    <font>
      <color theme="1"/>
      <family val="2"/>
      <scheme val="minor"/>
      <sz val="11"/>
      <name val="Calibri"/>
    </font>
    <font>
      <b/>
      <sz val="10"/>
      <name val="等线"/>
    </font>
    <font>
      <sz val="10"/>
      <name val="等线"/>
    </font>
    <font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2" width="17.2" customWidth="1"/>
    <col min="3" max="3" width="30.399999999999995" customWidth="1"/>
    <col min="4" max="4" width="12" customWidth="1"/>
    <col min="5" max="5" width="12.8" customWidth="1"/>
    <col min="6" max="18" width="11" customWidth="1"/>
  </cols>
  <sheetData>
    <row r="1" ht="72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3" t="s">
        <v>22</v>
      </c>
      <c r="F2" s="4">
        <v>5.1142</v>
      </c>
      <c r="G2" s="5">
        <v>0</v>
      </c>
      <c r="H2" s="5">
        <v>-19.47</v>
      </c>
      <c r="I2" s="5">
        <v>0</v>
      </c>
      <c r="J2" s="5">
        <v>0</v>
      </c>
      <c r="K2" s="5">
        <v>0</v>
      </c>
      <c r="L2" s="5">
        <v>0</v>
      </c>
      <c r="M2" s="5">
        <f>G2*F2</f>
      </c>
      <c r="N2" s="5">
        <f>H2*F2</f>
      </c>
      <c r="O2" s="5">
        <f>I2*F2</f>
      </c>
      <c r="P2" s="5">
        <f>J2*F2</f>
      </c>
      <c r="Q2" s="5">
        <f>K2*F2</f>
      </c>
      <c r="R2" s="5">
        <f>L2*F2</f>
      </c>
    </row>
    <row r="3" spans="1:18" x14ac:dyDescent="0.25">
      <c r="A3" s="2" t="s">
        <v>18</v>
      </c>
      <c r="B3" s="2" t="s">
        <v>23</v>
      </c>
      <c r="C3" s="2" t="s">
        <v>20</v>
      </c>
      <c r="D3" s="2" t="s">
        <v>24</v>
      </c>
      <c r="E3" s="3" t="s">
        <v>25</v>
      </c>
      <c r="F3" s="4">
        <v>0.3899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f>G3*F3</f>
      </c>
      <c r="N3" s="5">
        <f>H3*F3</f>
      </c>
      <c r="O3" s="5">
        <f>I3*F3</f>
      </c>
      <c r="P3" s="5">
        <f>J3*F3</f>
      </c>
      <c r="Q3" s="5">
        <f>K3*F3</f>
      </c>
      <c r="R3" s="5">
        <f>L3*F3</f>
      </c>
    </row>
    <row r="4" spans="1:18" x14ac:dyDescent="0.25">
      <c r="A4" s="2" t="s">
        <v>18</v>
      </c>
      <c r="B4" s="2" t="s">
        <v>19</v>
      </c>
      <c r="C4" s="2" t="s">
        <v>20</v>
      </c>
      <c r="D4" s="2" t="s">
        <v>26</v>
      </c>
      <c r="E4" s="3" t="s">
        <v>27</v>
      </c>
      <c r="F4" s="4">
        <v>7.0288</v>
      </c>
      <c r="G4" s="5">
        <v>8339.52</v>
      </c>
      <c r="H4" s="5">
        <v>-7531.72</v>
      </c>
      <c r="I4" s="5">
        <v>611.23</v>
      </c>
      <c r="J4" s="5">
        <v>-64.19</v>
      </c>
      <c r="K4" s="5">
        <v>-2278.53</v>
      </c>
      <c r="L4" s="5">
        <v>0</v>
      </c>
      <c r="M4" s="5">
        <f>G4*F4</f>
      </c>
      <c r="N4" s="5">
        <f>H4*F4</f>
      </c>
      <c r="O4" s="5">
        <f>I4*F4</f>
      </c>
      <c r="P4" s="5">
        <f>J4*F4</f>
      </c>
      <c r="Q4" s="5">
        <f>K4*F4</f>
      </c>
      <c r="R4" s="5">
        <f>L4*F4</f>
      </c>
    </row>
    <row r="5" spans="1:18" x14ac:dyDescent="0.25">
      <c r="A5" s="2" t="s">
        <v>18</v>
      </c>
      <c r="B5" s="2" t="s">
        <v>28</v>
      </c>
      <c r="C5" s="2" t="s">
        <v>29</v>
      </c>
      <c r="D5" s="2" t="s">
        <v>21</v>
      </c>
      <c r="E5" s="3" t="s">
        <v>22</v>
      </c>
      <c r="F5" s="4">
        <v>5.1142</v>
      </c>
      <c r="G5" s="5">
        <v>63680.49</v>
      </c>
      <c r="H5" s="5">
        <v>-37597.27</v>
      </c>
      <c r="I5" s="5">
        <v>7731.48</v>
      </c>
      <c r="J5" s="5">
        <v>-168.84</v>
      </c>
      <c r="K5" s="5">
        <v>-13042.91</v>
      </c>
      <c r="L5" s="5">
        <v>0</v>
      </c>
      <c r="M5" s="5">
        <f>G5*F5</f>
      </c>
      <c r="N5" s="5">
        <f>H5*F5</f>
      </c>
      <c r="O5" s="5">
        <f>I5*F5</f>
      </c>
      <c r="P5" s="5">
        <f>J5*F5</f>
      </c>
      <c r="Q5" s="5">
        <f>K5*F5</f>
      </c>
      <c r="R5" s="5">
        <f>L5*F5</f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亚马逊汇总表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2026-05-26T01:06:37Z</dcterms:created>
  <dcterms:modified xsi:type="dcterms:W3CDTF">2026-05-26T01:06:37Z</dcterms:modified>
</cp:coreProperties>
</file>