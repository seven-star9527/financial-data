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亚马逊汇总表" state="visible" r:id="rId4"/>
  </sheets>
  <calcPr calcId="171027"/>
</workbook>
</file>

<file path=xl/sharedStrings.xml><?xml version="1.0" encoding="utf-8"?>
<sst xmlns="http://schemas.openxmlformats.org/spreadsheetml/2006/main" count="63" uniqueCount="42">
  <si>
    <t>领星店铺名称</t>
  </si>
  <si>
    <t>站点</t>
  </si>
  <si>
    <t>公司主体</t>
  </si>
  <si>
    <t>国家</t>
  </si>
  <si>
    <t>结算币种</t>
  </si>
  <si>
    <t>2026年1月汇率</t>
  </si>
  <si>
    <t>1月--销售额汇总（Income）</t>
  </si>
  <si>
    <t>1月费用（Expenses）</t>
  </si>
  <si>
    <t>1月税款</t>
  </si>
  <si>
    <t>1月税款退款</t>
  </si>
  <si>
    <t>1月广告费（Cost of Advertising）</t>
  </si>
  <si>
    <t>1月广告费退款（Refund for Advertiser）</t>
  </si>
  <si>
    <t>1月--销售额汇总 (人民币)</t>
  </si>
  <si>
    <t>1月费用 (人民币)</t>
  </si>
  <si>
    <t>1月税款 (人民币)</t>
  </si>
  <si>
    <t>1月税款退款 (人民币)</t>
  </si>
  <si>
    <t>1月广告费 (人民币)</t>
  </si>
  <si>
    <t>1月广告费退款( 人民币）</t>
  </si>
  <si>
    <t/>
  </si>
  <si>
    <t>仁谦巴西</t>
  </si>
  <si>
    <t>南昌仁谦电子商务有限公司</t>
  </si>
  <si>
    <t>巴西</t>
  </si>
  <si>
    <t>BRL</t>
  </si>
  <si>
    <t>仁谦德国</t>
  </si>
  <si>
    <t>德国</t>
  </si>
  <si>
    <t>EUR</t>
  </si>
  <si>
    <t>仁谦加拿大</t>
  </si>
  <si>
    <t>加拿大</t>
  </si>
  <si>
    <t>CAD</t>
  </si>
  <si>
    <t>仁谦美国</t>
  </si>
  <si>
    <t>美国</t>
  </si>
  <si>
    <t>USD</t>
  </si>
  <si>
    <t>仁谦墨西哥</t>
  </si>
  <si>
    <t>墨西哥</t>
  </si>
  <si>
    <t>MXN</t>
  </si>
  <si>
    <t>仁谦英国</t>
  </si>
  <si>
    <t>英国</t>
  </si>
  <si>
    <t>GBP</t>
  </si>
  <si>
    <t>王国帅巴西</t>
  </si>
  <si>
    <t>江西泽坤贸易有限公司</t>
  </si>
  <si>
    <t>王国帅美国</t>
  </si>
  <si>
    <t>王国帅墨西哥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</si>
</sst>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"/>
    <numFmt numFmtId="165" formatCode="#,##0.00;[Red]-#,##0.00"/>
  </numFmts>
  <fonts count="4" x14ac:knownFonts="1">
    <font>
      <color theme="1"/>
      <family val="2"/>
      <scheme val="minor"/>
      <sz val="11"/>
      <name val="Calibri"/>
    </font>
    <font>
      <b/>
      <sz val="10"/>
      <name val="等线"/>
    </font>
    <font>
      <sz val="10"/>
      <name val="等线"/>
    </font>
    <font>
      <sz val="10"/>
      <name val="Tahom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right" vertical="center"/>
    </xf>
    <xf numFmtId="165" fontId="3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"/>
  <sheetViews>
    <sheetView workbookViewId="0">
      <pane xSplit="5" ySplit="1" topLeftCell="F2" activePane="bottomRight" state="frozen"/>
      <selection pane="bottomRight"/>
    </sheetView>
  </sheetViews>
  <sheetFormatPr defaultRowHeight="15" outlineLevelRow="0" outlineLevelCol="0" x14ac:dyDescent="55"/>
  <cols>
    <col min="1" max="2" width="17.2" customWidth="1"/>
    <col min="3" max="3" width="30.399999999999995" customWidth="1"/>
    <col min="4" max="4" width="12" customWidth="1"/>
    <col min="5" max="5" width="12.8" customWidth="1"/>
    <col min="6" max="18" width="11" customWidth="1"/>
  </cols>
  <sheetData>
    <row r="1" ht="72" customHeight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 t="s">
        <v>18</v>
      </c>
      <c r="B2" s="2" t="s">
        <v>19</v>
      </c>
      <c r="C2" s="2" t="s">
        <v>20</v>
      </c>
      <c r="D2" s="2" t="s">
        <v>21</v>
      </c>
      <c r="E2" s="3" t="s">
        <v>22</v>
      </c>
      <c r="F2" s="4">
        <v>1.2776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f>G2*F2</f>
      </c>
      <c r="N2" s="5">
        <f>H2*F2</f>
      </c>
      <c r="O2" s="5">
        <f>I2*F2</f>
      </c>
      <c r="P2" s="5">
        <f>J2*F2</f>
      </c>
      <c r="Q2" s="5">
        <f>K2*F2</f>
      </c>
      <c r="R2" s="5">
        <f>L2*F2</f>
      </c>
    </row>
    <row r="3" spans="1:18" x14ac:dyDescent="0.25">
      <c r="A3" s="2" t="s">
        <v>18</v>
      </c>
      <c r="B3" s="2" t="s">
        <v>23</v>
      </c>
      <c r="C3" s="2" t="s">
        <v>20</v>
      </c>
      <c r="D3" s="2" t="s">
        <v>24</v>
      </c>
      <c r="E3" s="3" t="s">
        <v>25</v>
      </c>
      <c r="F3" s="4">
        <v>8.2355</v>
      </c>
      <c r="G3" s="5">
        <v>15794.43</v>
      </c>
      <c r="H3" s="5">
        <v>-9386.08</v>
      </c>
      <c r="I3" s="5">
        <v>3045.39</v>
      </c>
      <c r="J3" s="5">
        <v>-60.8</v>
      </c>
      <c r="K3" s="5">
        <v>-3859.4</v>
      </c>
      <c r="L3" s="5">
        <v>0</v>
      </c>
      <c r="M3" s="5">
        <f>G3*F3</f>
      </c>
      <c r="N3" s="5">
        <f>H3*F3</f>
      </c>
      <c r="O3" s="5">
        <f>I3*F3</f>
      </c>
      <c r="P3" s="5">
        <f>J3*F3</f>
      </c>
      <c r="Q3" s="5">
        <f>K3*F3</f>
      </c>
      <c r="R3" s="5">
        <f>L3*F3</f>
      </c>
    </row>
    <row r="4" spans="1:18" x14ac:dyDescent="0.25">
      <c r="A4" s="2" t="s">
        <v>18</v>
      </c>
      <c r="B4" s="2" t="s">
        <v>26</v>
      </c>
      <c r="C4" s="2" t="s">
        <v>20</v>
      </c>
      <c r="D4" s="2" t="s">
        <v>27</v>
      </c>
      <c r="E4" s="3" t="s">
        <v>28</v>
      </c>
      <c r="F4" s="4">
        <v>5.1142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f>G4*F4</f>
      </c>
      <c r="N4" s="5">
        <f>H4*F4</f>
      </c>
      <c r="O4" s="5">
        <f>I4*F4</f>
      </c>
      <c r="P4" s="5">
        <f>J4*F4</f>
      </c>
      <c r="Q4" s="5">
        <f>K4*F4</f>
      </c>
      <c r="R4" s="5">
        <f>L4*F4</f>
      </c>
    </row>
    <row r="5" spans="1:18" x14ac:dyDescent="0.25">
      <c r="A5" s="2" t="s">
        <v>18</v>
      </c>
      <c r="B5" s="2" t="s">
        <v>29</v>
      </c>
      <c r="C5" s="2" t="s">
        <v>20</v>
      </c>
      <c r="D5" s="2" t="s">
        <v>30</v>
      </c>
      <c r="E5" s="3" t="s">
        <v>31</v>
      </c>
      <c r="F5" s="4">
        <v>7.0288</v>
      </c>
      <c r="G5" s="5">
        <v>109657.43</v>
      </c>
      <c r="H5" s="5">
        <v>-67602.22</v>
      </c>
      <c r="I5" s="5">
        <v>7718.11</v>
      </c>
      <c r="J5" s="5">
        <v>-149.35</v>
      </c>
      <c r="K5" s="5">
        <v>-25752.53</v>
      </c>
      <c r="L5" s="5">
        <v>505.03</v>
      </c>
      <c r="M5" s="5">
        <f>G5*F5</f>
      </c>
      <c r="N5" s="5">
        <f>H5*F5</f>
      </c>
      <c r="O5" s="5">
        <f>I5*F5</f>
      </c>
      <c r="P5" s="5">
        <f>J5*F5</f>
      </c>
      <c r="Q5" s="5">
        <f>K5*F5</f>
      </c>
      <c r="R5" s="5">
        <f>L5*F5</f>
      </c>
    </row>
    <row r="6" spans="1:18" x14ac:dyDescent="0.25">
      <c r="A6" s="2" t="s">
        <v>18</v>
      </c>
      <c r="B6" s="2" t="s">
        <v>32</v>
      </c>
      <c r="C6" s="2" t="s">
        <v>20</v>
      </c>
      <c r="D6" s="2" t="s">
        <v>33</v>
      </c>
      <c r="E6" s="3" t="s">
        <v>34</v>
      </c>
      <c r="F6" s="4">
        <v>0.3899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f>G6*F6</f>
      </c>
      <c r="N6" s="5">
        <f>H6*F6</f>
      </c>
      <c r="O6" s="5">
        <f>I6*F6</f>
      </c>
      <c r="P6" s="5">
        <f>J6*F6</f>
      </c>
      <c r="Q6" s="5">
        <f>K6*F6</f>
      </c>
      <c r="R6" s="5">
        <f>L6*F6</f>
      </c>
    </row>
    <row r="7" spans="1:18" x14ac:dyDescent="0.25">
      <c r="A7" s="2" t="s">
        <v>18</v>
      </c>
      <c r="B7" s="2" t="s">
        <v>35</v>
      </c>
      <c r="C7" s="2" t="s">
        <v>20</v>
      </c>
      <c r="D7" s="2" t="s">
        <v>36</v>
      </c>
      <c r="E7" s="3" t="s">
        <v>37</v>
      </c>
      <c r="F7" s="4">
        <v>9.4346</v>
      </c>
      <c r="G7" s="5">
        <v>23284.12</v>
      </c>
      <c r="H7" s="5">
        <v>-12240.51</v>
      </c>
      <c r="I7" s="5">
        <v>4735.56</v>
      </c>
      <c r="J7" s="5">
        <v>-145.16</v>
      </c>
      <c r="K7" s="5">
        <v>-4453.08</v>
      </c>
      <c r="L7" s="5">
        <v>0</v>
      </c>
      <c r="M7" s="5">
        <f>G7*F7</f>
      </c>
      <c r="N7" s="5">
        <f>H7*F7</f>
      </c>
      <c r="O7" s="5">
        <f>I7*F7</f>
      </c>
      <c r="P7" s="5">
        <f>J7*F7</f>
      </c>
      <c r="Q7" s="5">
        <f>K7*F7</f>
      </c>
      <c r="R7" s="5">
        <f>L7*F7</f>
      </c>
    </row>
    <row r="8" spans="1:18" x14ac:dyDescent="0.25">
      <c r="A8" s="2" t="s">
        <v>18</v>
      </c>
      <c r="B8" s="2" t="s">
        <v>38</v>
      </c>
      <c r="C8" s="2" t="s">
        <v>39</v>
      </c>
      <c r="D8" s="2" t="s">
        <v>21</v>
      </c>
      <c r="E8" s="3" t="s">
        <v>22</v>
      </c>
      <c r="F8" s="4">
        <v>1.2776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f>G8*F8</f>
      </c>
      <c r="N8" s="5">
        <f>H8*F8</f>
      </c>
      <c r="O8" s="5">
        <f>I8*F8</f>
      </c>
      <c r="P8" s="5">
        <f>J8*F8</f>
      </c>
      <c r="Q8" s="5">
        <f>K8*F8</f>
      </c>
      <c r="R8" s="5">
        <f>L8*F8</f>
      </c>
    </row>
    <row r="9" spans="1:18" x14ac:dyDescent="0.25">
      <c r="A9" s="2" t="s">
        <v>18</v>
      </c>
      <c r="B9" s="2" t="s">
        <v>40</v>
      </c>
      <c r="C9" s="2" t="s">
        <v>39</v>
      </c>
      <c r="D9" s="2" t="s">
        <v>30</v>
      </c>
      <c r="E9" s="3" t="s">
        <v>31</v>
      </c>
      <c r="F9" s="4">
        <v>7.0288</v>
      </c>
      <c r="G9" s="5">
        <v>231251.73</v>
      </c>
      <c r="H9" s="5">
        <v>-141321.59</v>
      </c>
      <c r="I9" s="5">
        <v>16775.73</v>
      </c>
      <c r="J9" s="5">
        <v>-369.23</v>
      </c>
      <c r="K9" s="5">
        <v>-52996.48</v>
      </c>
      <c r="L9" s="5">
        <v>538.51</v>
      </c>
      <c r="M9" s="5">
        <f>G9*F9</f>
      </c>
      <c r="N9" s="5">
        <f>H9*F9</f>
      </c>
      <c r="O9" s="5">
        <f>I9*F9</f>
      </c>
      <c r="P9" s="5">
        <f>J9*F9</f>
      </c>
      <c r="Q9" s="5">
        <f>K9*F9</f>
      </c>
      <c r="R9" s="5">
        <f>L9*F9</f>
      </c>
    </row>
    <row r="10" spans="1:18" x14ac:dyDescent="0.25">
      <c r="A10" s="2" t="s">
        <v>18</v>
      </c>
      <c r="B10" s="2" t="s">
        <v>41</v>
      </c>
      <c r="C10" s="2" t="s">
        <v>39</v>
      </c>
      <c r="D10" s="2" t="s">
        <v>33</v>
      </c>
      <c r="E10" s="3" t="s">
        <v>34</v>
      </c>
      <c r="F10" s="4">
        <v>0.3899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f>G10*F10</f>
      </c>
      <c r="N10" s="5">
        <f>H10*F10</f>
      </c>
      <c r="O10" s="5">
        <f>I10*F10</f>
      </c>
      <c r="P10" s="5">
        <f>J10*F10</f>
      </c>
      <c r="Q10" s="5">
        <f>K10*F10</f>
      </c>
      <c r="R10" s="5">
        <f>L10*F10</f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亚马逊汇总表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2026-05-25T09:06:49Z</dcterms:created>
  <dcterms:modified xsi:type="dcterms:W3CDTF">2026-05-25T09:06:49Z</dcterms:modified>
</cp:coreProperties>
</file>