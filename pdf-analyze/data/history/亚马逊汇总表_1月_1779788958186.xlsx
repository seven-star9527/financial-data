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<sst xmlns="http://schemas.openxmlformats.org/spreadsheetml/2006/main" count="43" uniqueCount="39">
  <si>
    <t>站点</t>
  </si>
  <si>
    <t>公司主体</t>
  </si>
  <si>
    <t>国家</t>
  </si>
  <si>
    <t>结算币种</t>
  </si>
  <si>
    <t>月份</t>
  </si>
  <si>
    <t>汇率</t>
  </si>
  <si>
    <t>销售额汇总（Income）</t>
  </si>
  <si>
    <t>费用（Expenses）</t>
  </si>
  <si>
    <t>税款</t>
  </si>
  <si>
    <t>税款退款</t>
  </si>
  <si>
    <t>广告费（Cost of Advertising）</t>
  </si>
  <si>
    <t>广告费退款（Refund for Advertiser）</t>
  </si>
  <si>
    <t>销售额汇总 (人民币)</t>
  </si>
  <si>
    <t>费用 (人民币)</t>
  </si>
  <si>
    <t>税款 (人民币)</t>
  </si>
  <si>
    <t>税款退款 (人民币)</t>
  </si>
  <si>
    <t>广告费 (人民币)</t>
  </si>
  <si>
    <t>广告费退款 (人民币)</t>
  </si>
  <si>
    <t>泰扬日本</t>
  </si>
  <si>
    <t>深圳市泰扬网络科技有限公司</t>
  </si>
  <si>
    <t>日本</t>
  </si>
  <si>
    <t>JPY</t>
  </si>
  <si>
    <t>1月</t>
  </si>
  <si>
    <t>Sewulidon美国</t>
  </si>
  <si>
    <t>南昌市凡博贸易有限公司</t>
  </si>
  <si>
    <t>美国</t>
  </si>
  <si>
    <t>USD</t>
  </si>
  <si>
    <t>宝徕泽瑞典</t>
  </si>
  <si>
    <t>南昌宝徕泽贸易有限公司</t>
  </si>
  <si>
    <t>瑞典</t>
  </si>
  <si>
    <t>SEK</t>
  </si>
  <si>
    <t>惜抱轩英国</t>
  </si>
  <si>
    <t>南昌惜抱轩科技有限公司</t>
  </si>
  <si>
    <t>英国</t>
  </si>
  <si>
    <t>GBP</t>
  </si>
  <si>
    <t>雅甄德国</t>
  </si>
  <si>
    <t>南昌雅甄贸易有限公司</t>
  </si>
  <si>
    <t>德国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</si>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</sst>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8.299999999999997" customWidth="1"/>
    <col min="2" max="2" width="32.599999999999994" customWidth="1"/>
    <col min="3" max="3" width="12" customWidth="1"/>
    <col min="4" max="4" width="12.8" customWidth="1"/>
    <col min="5" max="5" width="12" customWidth="1"/>
    <col min="6" max="18" width="11" customWidth="1"/>
  </cols>
  <sheetData>
    <row r="1" ht="72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0.044797000000000003</v>
      </c>
      <c r="G2" s="4">
        <v>1635005</v>
      </c>
      <c r="H2" s="4">
        <v>-805057</v>
      </c>
      <c r="I2" s="4">
        <v>164375</v>
      </c>
      <c r="J2" s="4">
        <v>-697</v>
      </c>
      <c r="K2" s="4">
        <v>-262153</v>
      </c>
      <c r="L2" s="4">
        <v>0</v>
      </c>
      <c r="M2" s="4">
        <f>G2*F2</f>
      </c>
      <c r="N2" s="4">
        <f>H2*F2</f>
      </c>
      <c r="O2" s="4">
        <f>I2*F2</f>
      </c>
      <c r="P2" s="4">
        <f>J2*F2</f>
      </c>
      <c r="Q2" s="4">
        <f>K2*F2</f>
      </c>
      <c r="R2" s="4">
        <f>L2*F2</f>
      </c>
    </row>
    <row r="3" spans="1:18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22</v>
      </c>
      <c r="F3" s="3">
        <v>7.0288</v>
      </c>
      <c r="G3" s="4">
        <v>48922.85</v>
      </c>
      <c r="H3" s="4">
        <v>-35505.32</v>
      </c>
      <c r="I3" s="4">
        <v>3923.37</v>
      </c>
      <c r="J3" s="4">
        <v>-483.54</v>
      </c>
      <c r="K3" s="4">
        <v>-11594.28</v>
      </c>
      <c r="L3" s="4">
        <v>516.94</v>
      </c>
      <c r="M3" s="4">
        <f>G3*F3</f>
      </c>
      <c r="N3" s="4">
        <f>H3*F3</f>
      </c>
      <c r="O3" s="4">
        <f>I3*F3</f>
      </c>
      <c r="P3" s="4">
        <f>J3*F3</f>
      </c>
      <c r="Q3" s="4">
        <f>K3*F3</f>
      </c>
      <c r="R3" s="4">
        <f>L3*F3</f>
      </c>
    </row>
    <row r="4" spans="1:18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22</v>
      </c>
      <c r="F4" s="3">
        <v>0.7617</v>
      </c>
      <c r="G4" s="4">
        <v>4220</v>
      </c>
      <c r="H4" s="4">
        <v>-2255.39</v>
      </c>
      <c r="I4" s="4">
        <v>1108.89</v>
      </c>
      <c r="J4" s="4">
        <v>-53.99</v>
      </c>
      <c r="K4" s="4">
        <v>-409.42</v>
      </c>
      <c r="L4" s="4">
        <v>0</v>
      </c>
      <c r="M4" s="4">
        <f>G4*F4</f>
      </c>
      <c r="N4" s="4">
        <f>H4*F4</f>
      </c>
      <c r="O4" s="4">
        <f>I4*F4</f>
      </c>
      <c r="P4" s="4">
        <f>J4*F4</f>
      </c>
      <c r="Q4" s="4">
        <f>K4*F4</f>
      </c>
      <c r="R4" s="4">
        <f>L4*F4</f>
      </c>
    </row>
    <row r="5" spans="1:18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22</v>
      </c>
      <c r="F5" s="3">
        <v>9.4346</v>
      </c>
      <c r="G5" s="4">
        <v>6031.79</v>
      </c>
      <c r="H5" s="4">
        <v>-3063.59</v>
      </c>
      <c r="I5" s="4">
        <v>1227.9</v>
      </c>
      <c r="J5" s="4">
        <v>-32.91</v>
      </c>
      <c r="K5" s="4">
        <v>-1356.12</v>
      </c>
      <c r="L5" s="4">
        <v>0</v>
      </c>
      <c r="M5" s="4">
        <f>G5*F5</f>
      </c>
      <c r="N5" s="4">
        <f>H5*F5</f>
      </c>
      <c r="O5" s="4">
        <f>I5*F5</f>
      </c>
      <c r="P5" s="4">
        <f>J5*F5</f>
      </c>
      <c r="Q5" s="4">
        <f>K5*F5</f>
      </c>
      <c r="R5" s="4">
        <f>L5*F5</f>
      </c>
    </row>
    <row r="6" spans="1:18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22</v>
      </c>
      <c r="F6" s="3">
        <v>8.2355</v>
      </c>
      <c r="G6" s="4">
        <v>0</v>
      </c>
      <c r="H6" s="4">
        <v>-1.34</v>
      </c>
      <c r="I6" s="4">
        <v>0</v>
      </c>
      <c r="J6" s="4">
        <v>0</v>
      </c>
      <c r="K6" s="4">
        <v>0</v>
      </c>
      <c r="L6" s="4">
        <v>0</v>
      </c>
      <c r="M6" s="4">
        <f>G6*F6</f>
      </c>
      <c r="N6" s="4">
        <f>H6*F6</f>
      </c>
      <c r="O6" s="4">
        <f>I6*F6</f>
      </c>
      <c r="P6" s="4">
        <f>J6*F6</f>
      </c>
      <c r="Q6" s="4">
        <f>K6*F6</f>
      </c>
      <c r="R6" s="4">
        <f>L6*F6</f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2026-05-26T09:49:18Z</dcterms:created>
  <dcterms:modified xsi:type="dcterms:W3CDTF">2026-05-26T09:49:18Z</dcterms:modified>
</cp:coreProperties>
</file>