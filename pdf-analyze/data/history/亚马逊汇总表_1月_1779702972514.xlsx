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亚马逊汇总表" state="visible" r:id="rId4"/>
  </sheets>
  <calcPr calcId="171027"/>
</workbook>
</file>

<file path=xl/sharedStrings.xml><?xml version="1.0" encoding="utf-8"?>
<sst xmlns="http://schemas.openxmlformats.org/spreadsheetml/2006/main" count="38" uniqueCount="32">
  <si>
    <t>领星店铺名称</t>
  </si>
  <si>
    <t>站点</t>
  </si>
  <si>
    <t>公司主体</t>
  </si>
  <si>
    <t>国家</t>
  </si>
  <si>
    <t>结算币种</t>
  </si>
  <si>
    <t>2026年1月汇率</t>
  </si>
  <si>
    <t>1月--销售额汇总（Income）</t>
  </si>
  <si>
    <t>1月费用（Expenses）</t>
  </si>
  <si>
    <t>1月税款</t>
  </si>
  <si>
    <t>1月税款退款</t>
  </si>
  <si>
    <t>1月广告费（Cost of Advertising）</t>
  </si>
  <si>
    <t>1月广告费退款（Refund for Advertiser）</t>
  </si>
  <si>
    <t>1月--销售额汇总 (人民币)</t>
  </si>
  <si>
    <t>1月费用 (人民币)</t>
  </si>
  <si>
    <t>1月税款 (人民币)</t>
  </si>
  <si>
    <t>1月税款退款 (人民币)</t>
  </si>
  <si>
    <t>1月广告费 (人民币)</t>
  </si>
  <si>
    <t>1月广告费退款( 人民币）</t>
  </si>
  <si>
    <t/>
  </si>
  <si>
    <t>Sewulidon美国</t>
  </si>
  <si>
    <t>南昌市凡博贸易有限公司</t>
  </si>
  <si>
    <t>美国</t>
  </si>
  <si>
    <t>USD</t>
  </si>
  <si>
    <t>惜抱轩德国</t>
  </si>
  <si>
    <t>南昌惜抱轩科技有限公司</t>
  </si>
  <si>
    <t>德国</t>
  </si>
  <si>
    <t>EUR</t>
  </si>
  <si>
    <t>惜抱轩英国</t>
  </si>
  <si>
    <t>英国</t>
  </si>
  <si>
    <t>GBP</t>
  </si>
  <si>
    <t>雅甄</t>
  </si>
  <si>
    <t>南昌雅甄贸易有限公司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</si>
</sst>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#,##0.00;[Red]-#,##0.00"/>
  </numFmts>
  <fonts count="4" x14ac:knownFonts="1">
    <font>
      <color theme="1"/>
      <family val="2"/>
      <scheme val="minor"/>
      <sz val="11"/>
      <name val="Calibri"/>
    </font>
    <font>
      <b/>
      <sz val="10"/>
      <name val="等线"/>
    </font>
    <font>
      <sz val="10"/>
      <name val="等线"/>
    </font>
    <font>
      <sz val="10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17.2" customWidth="1"/>
    <col min="2" max="2" width="18.299999999999997" customWidth="1"/>
    <col min="3" max="3" width="28.199999999999996" customWidth="1"/>
    <col min="4" max="4" width="12" customWidth="1"/>
    <col min="5" max="5" width="12.8" customWidth="1"/>
    <col min="6" max="18" width="11" customWidth="1"/>
  </cols>
  <sheetData>
    <row r="1" ht="72" customHeight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 t="s">
        <v>21</v>
      </c>
      <c r="E2" s="3" t="s">
        <v>22</v>
      </c>
      <c r="F2" s="4">
        <v>7.0288</v>
      </c>
      <c r="G2" s="5">
        <v>48922.85</v>
      </c>
      <c r="H2" s="5">
        <v>-35505.32</v>
      </c>
      <c r="I2" s="5">
        <v>3923.37</v>
      </c>
      <c r="J2" s="5">
        <v>-483.54</v>
      </c>
      <c r="K2" s="5">
        <v>-11594.28</v>
      </c>
      <c r="L2" s="5">
        <v>516.94</v>
      </c>
      <c r="M2" s="5">
        <f>G2*F2</f>
      </c>
      <c r="N2" s="5">
        <f>H2*F2</f>
      </c>
      <c r="O2" s="5">
        <f>I2*F2</f>
      </c>
      <c r="P2" s="5">
        <f>J2*F2</f>
      </c>
      <c r="Q2" s="5">
        <f>K2*F2</f>
      </c>
      <c r="R2" s="5">
        <f>L2*F2</f>
      </c>
    </row>
    <row r="3" spans="1:18" x14ac:dyDescent="0.25">
      <c r="A3" s="2" t="s">
        <v>18</v>
      </c>
      <c r="B3" s="2" t="s">
        <v>23</v>
      </c>
      <c r="C3" s="2" t="s">
        <v>24</v>
      </c>
      <c r="D3" s="2" t="s">
        <v>25</v>
      </c>
      <c r="E3" s="3" t="s">
        <v>26</v>
      </c>
      <c r="F3" s="4">
        <v>8.2355</v>
      </c>
      <c r="G3" s="5">
        <v>0</v>
      </c>
      <c r="H3" s="5">
        <v>-36.39</v>
      </c>
      <c r="I3" s="5">
        <v>4.15</v>
      </c>
      <c r="J3" s="5">
        <v>-4.15</v>
      </c>
      <c r="K3" s="5">
        <v>-14.63</v>
      </c>
      <c r="L3" s="5">
        <v>0</v>
      </c>
      <c r="M3" s="5">
        <f>G3*F3</f>
      </c>
      <c r="N3" s="5">
        <f>H3*F3</f>
      </c>
      <c r="O3" s="5">
        <f>I3*F3</f>
      </c>
      <c r="P3" s="5">
        <f>J3*F3</f>
      </c>
      <c r="Q3" s="5">
        <f>K3*F3</f>
      </c>
      <c r="R3" s="5">
        <f>L3*F3</f>
      </c>
    </row>
    <row r="4" spans="1:18" x14ac:dyDescent="0.25">
      <c r="A4" s="2" t="s">
        <v>18</v>
      </c>
      <c r="B4" s="2" t="s">
        <v>27</v>
      </c>
      <c r="C4" s="2" t="s">
        <v>24</v>
      </c>
      <c r="D4" s="2" t="s">
        <v>28</v>
      </c>
      <c r="E4" s="3" t="s">
        <v>29</v>
      </c>
      <c r="F4" s="4">
        <v>9.4346</v>
      </c>
      <c r="G4" s="5">
        <v>6031.79</v>
      </c>
      <c r="H4" s="5">
        <v>-3063.59</v>
      </c>
      <c r="I4" s="5">
        <v>1227.9</v>
      </c>
      <c r="J4" s="5">
        <v>-32.91</v>
      </c>
      <c r="K4" s="5">
        <v>-1356.12</v>
      </c>
      <c r="L4" s="5">
        <v>0</v>
      </c>
      <c r="M4" s="5">
        <f>G4*F4</f>
      </c>
      <c r="N4" s="5">
        <f>H4*F4</f>
      </c>
      <c r="O4" s="5">
        <f>I4*F4</f>
      </c>
      <c r="P4" s="5">
        <f>J4*F4</f>
      </c>
      <c r="Q4" s="5">
        <f>K4*F4</f>
      </c>
      <c r="R4" s="5">
        <f>L4*F4</f>
      </c>
    </row>
    <row r="5" spans="1:18" x14ac:dyDescent="0.25">
      <c r="A5" s="2" t="s">
        <v>18</v>
      </c>
      <c r="B5" s="2" t="s">
        <v>30</v>
      </c>
      <c r="C5" s="2" t="s">
        <v>31</v>
      </c>
      <c r="D5" s="2" t="s">
        <v>25</v>
      </c>
      <c r="E5" s="3" t="s">
        <v>26</v>
      </c>
      <c r="F5" s="4">
        <v>8.2355</v>
      </c>
      <c r="G5" s="5">
        <v>0</v>
      </c>
      <c r="H5" s="5">
        <v>-1.34</v>
      </c>
      <c r="I5" s="5">
        <v>0</v>
      </c>
      <c r="J5" s="5">
        <v>0</v>
      </c>
      <c r="K5" s="5">
        <v>0</v>
      </c>
      <c r="L5" s="5">
        <v>0</v>
      </c>
      <c r="M5" s="5">
        <f>G5*F5</f>
      </c>
      <c r="N5" s="5">
        <f>H5*F5</f>
      </c>
      <c r="O5" s="5">
        <f>I5*F5</f>
      </c>
      <c r="P5" s="5">
        <f>J5*F5</f>
      </c>
      <c r="Q5" s="5">
        <f>K5*F5</f>
      </c>
      <c r="R5" s="5">
        <f>L5*F5</f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亚马逊汇总表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2026-05-25T09:56:12Z</dcterms:created>
  <dcterms:modified xsi:type="dcterms:W3CDTF">2026-05-25T09:56:12Z</dcterms:modified>
</cp:coreProperties>
</file>